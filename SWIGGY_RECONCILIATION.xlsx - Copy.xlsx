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_cuisine_revenue - Copy " sheetId="1" r:id="rId5"/>
    <sheet state="visible" name="Pivot Table 1" sheetId="2" r:id="rId6"/>
    <sheet state="visible" name="Sheet2" sheetId="3" r:id="rId7"/>
    <sheet state="visible" name="Sheet1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<sst xmlns="http://schemas.openxmlformats.org/spreadsheetml/2006/main" count="71" uniqueCount="27">
  <si>
    <t>cuisine</t>
  </si>
  <si>
    <t>month</t>
  </si>
  <si>
    <t>total_revenue</t>
  </si>
  <si>
    <t>order_count</t>
  </si>
  <si>
    <t>target_revenue_inr</t>
  </si>
  <si>
    <t>avg_revenue</t>
  </si>
  <si>
    <t>target_revenue_</t>
  </si>
  <si>
    <t>variance</t>
  </si>
  <si>
    <t>Chinese</t>
  </si>
  <si>
    <t>percentage_variance</t>
  </si>
  <si>
    <t>north indian</t>
  </si>
  <si>
    <t>status_tag</t>
  </si>
  <si>
    <t>matches part a sql total?</t>
  </si>
  <si>
    <t>chinese</t>
  </si>
  <si>
    <t>south indian</t>
  </si>
  <si>
    <t>fast food</t>
  </si>
  <si>
    <t>desserts</t>
  </si>
  <si>
    <t>italian</t>
  </si>
  <si>
    <t>Desserts</t>
  </si>
  <si>
    <t>Fast Food</t>
  </si>
  <si>
    <t>Italian</t>
  </si>
  <si>
    <t>YES</t>
  </si>
  <si>
    <t>SUM of total_revenue</t>
  </si>
  <si>
    <t>SUM of order_count</t>
  </si>
  <si>
    <t>North Indian</t>
  </si>
  <si>
    <t>South Indian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</si>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</sst>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5" sheet="monthly_cuisine_revenue - Copy "/>
  </cacheSource>
  <cacheFields>
    <cacheField name="cuisine" numFmtId="0">
      <sharedItems>
        <s v="Chinese"/>
        <s v="Desserts"/>
        <s v="Fast Food"/>
        <s v="Italian"/>
        <s v="North Indian"/>
        <s v="South Indian"/>
      </sharedItems>
    </cacheField>
    <cacheField name="month" numFmtId="164">
      <sharedItems containsSemiMixedTypes="0" containsDate="1" containsString="0">
        <d v="2026-01-01T00:00:00Z"/>
        <d v="2026-02-01T00:00:00Z"/>
        <d v="2026-03-01T00:00:00Z"/>
        <d v="2026-04-01T00:00:00Z"/>
        <d v="2026-05-01T00:00:00Z"/>
        <d v="2026-06-01T00:00:00Z"/>
      </sharedItems>
    </cacheField>
    <cacheField name="order_count" numFmtId="0">
      <sharedItems containsSemiMixedTypes="0" containsString="0" containsNumber="1" containsInteger="1">
        <n v="16.0"/>
        <n v="15.0"/>
        <n v="10.0"/>
        <n v="18.0"/>
        <n v="3.0"/>
        <n v="2.0"/>
        <n v="4.0"/>
        <n v="1.0"/>
        <n v="5.0"/>
        <n v="9.0"/>
        <n v="8.0"/>
        <n v="6.0"/>
        <n v="25.0"/>
        <n v="26.0"/>
        <n v="27.0"/>
        <n v="24.0"/>
        <n v="7.0"/>
      </sharedItems>
    </cacheField>
    <cacheField name="total_revenue" numFmtId="0">
      <sharedItems containsSemiMixedTypes="0" containsString="0" containsNumber="1" containsInteger="1">
        <n v="24583.0"/>
        <n v="20381.0"/>
        <n v="20273.0"/>
        <n v="18695.0"/>
        <n v="14677.0"/>
        <n v="29231.0"/>
        <n v="5706.0"/>
        <n v="3953.0"/>
        <n v="2809.0"/>
        <n v="5633.0"/>
        <n v="1593.0"/>
        <n v="10499.0"/>
        <n v="6277.0"/>
        <n v="10495.0"/>
        <n v="14644.0"/>
        <n v="8546.0"/>
        <n v="4662.0"/>
        <n v="1716.0"/>
        <n v="1142.0"/>
        <n v="4510.0"/>
        <n v="1455.0"/>
        <n v="5912.0"/>
        <n v="37468.0"/>
        <n v="38819.0"/>
        <n v="25803.0"/>
        <n v="39368.0"/>
        <n v="33707.0"/>
        <n v="41132.0"/>
        <n v="3339.0"/>
        <n v="11754.0"/>
        <n v="14818.0"/>
        <n v="10542.0"/>
        <n v="10130.0"/>
        <n v="12834.0"/>
      </sharedItems>
    </cacheField>
    <cacheField name="avg_revenue" numFmtId="0">
      <sharedItems containsSemiMixedTypes="0" containsString="0" containsNumber="1">
        <n v="1536.4375"/>
        <n v="1273.8125"/>
        <n v="1267.0625"/>
        <n v="1246.33333333333"/>
        <n v="1467.7"/>
        <n v="1623.94444444444"/>
        <n v="1902.0"/>
        <n v="1317.66666666666"/>
        <n v="1404.5"/>
        <n v="1408.25"/>
        <n v="1593.0"/>
        <n v="1049.9"/>
        <n v="1255.4"/>
        <n v="1166.11111111111"/>
        <n v="1830.5"/>
        <n v="1424.33333333333"/>
        <n v="1165.5"/>
        <n v="1716.0"/>
        <n v="1142.0"/>
        <n v="902.0"/>
        <n v="1455.0"/>
        <n v="1970.66666666666"/>
        <n v="1498.72"/>
        <n v="1493.03846153846"/>
        <n v="1032.12"/>
        <n v="1458.07407407407"/>
        <n v="1404.45833333333"/>
        <n v="1523.4074074074"/>
        <n v="1113.0"/>
        <n v="1306.0"/>
        <n v="1481.8"/>
        <n v="1317.75"/>
        <n v="1447.14285714285"/>
        <n v="1283.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8" firstHeaderRow="0" firstDataRow="2" firstDataCol="0"/>
  <pivotFields>
    <pivotField name="cuisine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</pivotFields>
  <rowFields>
    <field x="0"/>
  </rowFields>
  <colFields>
    <field x="-2"/>
  </colFields>
  <dataFields>
    <dataField name="SUM of total_revenue" fld="3" baseField="0"/>
    <dataField name="SUM of order_c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2</v>
      </c>
      <c r="E1" s="1" t="s">
        <v>5</v>
      </c>
    </row>
    <row r="2">
      <c r="A2" s="1" t="s">
        <v>8</v>
      </c>
      <c r="B2" s="2">
        <v>46023.0</v>
      </c>
      <c r="C2" s="1">
        <v>16.0</v>
      </c>
      <c r="D2" s="1">
        <v>24583.0</v>
      </c>
      <c r="E2" s="1">
        <v>1536.4375</v>
      </c>
    </row>
    <row r="3">
      <c r="A3" s="1" t="s">
        <v>8</v>
      </c>
      <c r="B3" s="2">
        <v>46054.0</v>
      </c>
      <c r="C3" s="1">
        <v>16.0</v>
      </c>
      <c r="D3" s="1">
        <v>20381.0</v>
      </c>
      <c r="E3" s="1">
        <v>1273.8125</v>
      </c>
    </row>
    <row r="4">
      <c r="A4" s="1" t="s">
        <v>8</v>
      </c>
      <c r="B4" s="2">
        <v>46082.0</v>
      </c>
      <c r="C4" s="1">
        <v>16.0</v>
      </c>
      <c r="D4" s="1">
        <v>20273.0</v>
      </c>
      <c r="E4" s="1">
        <v>1267.0625</v>
      </c>
    </row>
    <row r="5">
      <c r="A5" s="1" t="s">
        <v>8</v>
      </c>
      <c r="B5" s="2">
        <v>46113.0</v>
      </c>
      <c r="C5" s="1">
        <v>15.0</v>
      </c>
      <c r="D5" s="1">
        <v>18695.0</v>
      </c>
      <c r="E5" s="1">
        <v>1246.33333333333</v>
      </c>
    </row>
    <row r="6">
      <c r="A6" s="1" t="s">
        <v>8</v>
      </c>
      <c r="B6" s="2">
        <v>46143.0</v>
      </c>
      <c r="C6" s="1">
        <v>10.0</v>
      </c>
      <c r="D6" s="1">
        <v>14677.0</v>
      </c>
      <c r="E6" s="1">
        <v>1467.7</v>
      </c>
    </row>
    <row r="7">
      <c r="A7" s="1" t="s">
        <v>8</v>
      </c>
      <c r="B7" s="2">
        <v>46174.0</v>
      </c>
      <c r="C7" s="1">
        <v>18.0</v>
      </c>
      <c r="D7" s="1">
        <v>29231.0</v>
      </c>
      <c r="E7" s="1">
        <v>1623.94444444444</v>
      </c>
    </row>
    <row r="8">
      <c r="A8" s="1" t="s">
        <v>18</v>
      </c>
      <c r="B8" s="2">
        <v>46023.0</v>
      </c>
      <c r="C8" s="1">
        <v>3.0</v>
      </c>
      <c r="D8" s="1">
        <v>5706.0</v>
      </c>
      <c r="E8" s="1">
        <v>1902.0</v>
      </c>
    </row>
    <row r="9">
      <c r="A9" s="1" t="s">
        <v>18</v>
      </c>
      <c r="B9" s="2">
        <v>46054.0</v>
      </c>
      <c r="C9" s="1">
        <v>3.0</v>
      </c>
      <c r="D9" s="1">
        <v>3953.0</v>
      </c>
      <c r="E9" s="1">
        <v>1317.66666666666</v>
      </c>
    </row>
    <row r="10">
      <c r="A10" s="1" t="s">
        <v>18</v>
      </c>
      <c r="B10" s="2">
        <v>46082.0</v>
      </c>
      <c r="C10" s="1">
        <v>2.0</v>
      </c>
      <c r="D10" s="1">
        <v>2809.0</v>
      </c>
      <c r="E10" s="1">
        <v>1404.5</v>
      </c>
    </row>
    <row r="11">
      <c r="A11" s="1" t="s">
        <v>18</v>
      </c>
      <c r="B11" s="2">
        <v>46143.0</v>
      </c>
      <c r="C11" s="1">
        <v>4.0</v>
      </c>
      <c r="D11" s="1">
        <v>5633.0</v>
      </c>
      <c r="E11" s="1">
        <v>1408.25</v>
      </c>
    </row>
    <row r="12">
      <c r="A12" s="1" t="s">
        <v>18</v>
      </c>
      <c r="B12" s="2">
        <v>46174.0</v>
      </c>
      <c r="C12" s="1">
        <v>1.0</v>
      </c>
      <c r="D12" s="1">
        <v>1593.0</v>
      </c>
      <c r="E12" s="1">
        <v>1593.0</v>
      </c>
    </row>
    <row r="13">
      <c r="A13" s="1" t="s">
        <v>19</v>
      </c>
      <c r="B13" s="2">
        <v>46023.0</v>
      </c>
      <c r="C13" s="1">
        <v>10.0</v>
      </c>
      <c r="D13" s="1">
        <v>10499.0</v>
      </c>
      <c r="E13" s="1">
        <v>1049.9</v>
      </c>
    </row>
    <row r="14">
      <c r="A14" s="1" t="s">
        <v>19</v>
      </c>
      <c r="B14" s="2">
        <v>46054.0</v>
      </c>
      <c r="C14" s="1">
        <v>5.0</v>
      </c>
      <c r="D14" s="1">
        <v>6277.0</v>
      </c>
      <c r="E14" s="1">
        <v>1255.4</v>
      </c>
    </row>
    <row r="15">
      <c r="A15" s="1" t="s">
        <v>19</v>
      </c>
      <c r="B15" s="2">
        <v>46082.0</v>
      </c>
      <c r="C15" s="1">
        <v>9.0</v>
      </c>
      <c r="D15" s="1">
        <v>10495.0</v>
      </c>
      <c r="E15" s="1">
        <v>1166.11111111111</v>
      </c>
    </row>
    <row r="16">
      <c r="A16" s="1" t="s">
        <v>19</v>
      </c>
      <c r="B16" s="2">
        <v>46113.0</v>
      </c>
      <c r="C16" s="1">
        <v>8.0</v>
      </c>
      <c r="D16" s="1">
        <v>14644.0</v>
      </c>
      <c r="E16" s="1">
        <v>1830.5</v>
      </c>
    </row>
    <row r="17">
      <c r="A17" s="1" t="s">
        <v>19</v>
      </c>
      <c r="B17" s="2">
        <v>46143.0</v>
      </c>
      <c r="C17" s="1">
        <v>6.0</v>
      </c>
      <c r="D17" s="1">
        <v>8546.0</v>
      </c>
      <c r="E17" s="1">
        <v>1424.33333333333</v>
      </c>
    </row>
    <row r="18">
      <c r="A18" s="1" t="s">
        <v>19</v>
      </c>
      <c r="B18" s="2">
        <v>46174.0</v>
      </c>
      <c r="C18" s="1">
        <v>4.0</v>
      </c>
      <c r="D18" s="1">
        <v>4662.0</v>
      </c>
      <c r="E18" s="1">
        <v>1165.5</v>
      </c>
    </row>
    <row r="19">
      <c r="A19" s="1" t="s">
        <v>20</v>
      </c>
      <c r="B19" s="2">
        <v>46023.0</v>
      </c>
      <c r="C19" s="1">
        <v>1.0</v>
      </c>
      <c r="D19" s="1">
        <v>1716.0</v>
      </c>
      <c r="E19" s="1">
        <v>1716.0</v>
      </c>
    </row>
    <row r="20">
      <c r="A20" s="1" t="s">
        <v>20</v>
      </c>
      <c r="B20" s="2">
        <v>46054.0</v>
      </c>
      <c r="C20" s="1">
        <v>1.0</v>
      </c>
      <c r="D20" s="1">
        <v>1142.0</v>
      </c>
      <c r="E20" s="1">
        <v>1142.0</v>
      </c>
    </row>
    <row r="21">
      <c r="A21" s="1" t="s">
        <v>20</v>
      </c>
      <c r="B21" s="2">
        <v>46113.0</v>
      </c>
      <c r="C21" s="1">
        <v>5.0</v>
      </c>
      <c r="D21" s="1">
        <v>4510.0</v>
      </c>
      <c r="E21" s="1">
        <v>902.0</v>
      </c>
    </row>
    <row r="22">
      <c r="A22" s="1" t="s">
        <v>20</v>
      </c>
      <c r="B22" s="2">
        <v>46143.0</v>
      </c>
      <c r="C22" s="1">
        <v>1.0</v>
      </c>
      <c r="D22" s="1">
        <v>1455.0</v>
      </c>
      <c r="E22" s="1">
        <v>1455.0</v>
      </c>
    </row>
    <row r="23">
      <c r="A23" s="1" t="s">
        <v>20</v>
      </c>
      <c r="B23" s="2">
        <v>46174.0</v>
      </c>
      <c r="C23" s="1">
        <v>3.0</v>
      </c>
      <c r="D23" s="1">
        <v>5912.0</v>
      </c>
      <c r="E23" s="1">
        <v>1970.66666666666</v>
      </c>
    </row>
    <row r="24">
      <c r="A24" s="1" t="s">
        <v>24</v>
      </c>
      <c r="B24" s="2">
        <v>46023.0</v>
      </c>
      <c r="C24" s="1">
        <v>25.0</v>
      </c>
      <c r="D24" s="1">
        <v>37468.0</v>
      </c>
      <c r="E24" s="1">
        <v>1498.72</v>
      </c>
    </row>
    <row r="25">
      <c r="A25" s="1" t="s">
        <v>24</v>
      </c>
      <c r="B25" s="2">
        <v>46054.0</v>
      </c>
      <c r="C25" s="1">
        <v>26.0</v>
      </c>
      <c r="D25" s="1">
        <v>38819.0</v>
      </c>
      <c r="E25" s="1">
        <v>1493.03846153846</v>
      </c>
    </row>
    <row r="26">
      <c r="A26" s="1" t="s">
        <v>24</v>
      </c>
      <c r="B26" s="2">
        <v>46082.0</v>
      </c>
      <c r="C26" s="1">
        <v>25.0</v>
      </c>
      <c r="D26" s="1">
        <v>25803.0</v>
      </c>
      <c r="E26" s="1">
        <v>1032.12</v>
      </c>
    </row>
    <row r="27">
      <c r="A27" s="1" t="s">
        <v>24</v>
      </c>
      <c r="B27" s="2">
        <v>46113.0</v>
      </c>
      <c r="C27" s="1">
        <v>27.0</v>
      </c>
      <c r="D27" s="1">
        <v>39368.0</v>
      </c>
      <c r="E27" s="1">
        <v>1458.07407407407</v>
      </c>
    </row>
    <row r="28">
      <c r="A28" s="1" t="s">
        <v>24</v>
      </c>
      <c r="B28" s="2">
        <v>46143.0</v>
      </c>
      <c r="C28" s="1">
        <v>24.0</v>
      </c>
      <c r="D28" s="1">
        <v>33707.0</v>
      </c>
      <c r="E28" s="1">
        <v>1404.45833333333</v>
      </c>
    </row>
    <row r="29">
      <c r="A29" s="1" t="s">
        <v>24</v>
      </c>
      <c r="B29" s="2">
        <v>46174.0</v>
      </c>
      <c r="C29" s="1">
        <v>27.0</v>
      </c>
      <c r="D29" s="1">
        <v>41132.0</v>
      </c>
      <c r="E29" s="1">
        <v>1523.4074074074</v>
      </c>
    </row>
    <row r="30">
      <c r="A30" s="1" t="s">
        <v>25</v>
      </c>
      <c r="B30" s="2">
        <v>46023.0</v>
      </c>
      <c r="C30" s="1">
        <v>3.0</v>
      </c>
      <c r="D30" s="1">
        <v>3339.0</v>
      </c>
      <c r="E30" s="1">
        <v>1113.0</v>
      </c>
    </row>
    <row r="31">
      <c r="A31" s="1" t="s">
        <v>25</v>
      </c>
      <c r="B31" s="2">
        <v>46054.0</v>
      </c>
      <c r="C31" s="1">
        <v>9.0</v>
      </c>
      <c r="D31" s="1">
        <v>11754.0</v>
      </c>
      <c r="E31" s="1">
        <v>1306.0</v>
      </c>
    </row>
    <row r="32">
      <c r="A32" s="1" t="s">
        <v>25</v>
      </c>
      <c r="B32" s="2">
        <v>46082.0</v>
      </c>
      <c r="C32" s="1">
        <v>10.0</v>
      </c>
      <c r="D32" s="1">
        <v>14818.0</v>
      </c>
      <c r="E32" s="1">
        <v>1481.8</v>
      </c>
    </row>
    <row r="33">
      <c r="A33" s="1" t="s">
        <v>25</v>
      </c>
      <c r="B33" s="2">
        <v>46113.0</v>
      </c>
      <c r="C33" s="1">
        <v>8.0</v>
      </c>
      <c r="D33" s="1">
        <v>10542.0</v>
      </c>
      <c r="E33" s="1">
        <v>1317.75</v>
      </c>
    </row>
    <row r="34">
      <c r="A34" s="1" t="s">
        <v>25</v>
      </c>
      <c r="B34" s="2">
        <v>46143.0</v>
      </c>
      <c r="C34" s="1">
        <v>7.0</v>
      </c>
      <c r="D34" s="1">
        <v>10130.0</v>
      </c>
      <c r="E34" s="1">
        <v>1447.14285714285</v>
      </c>
    </row>
    <row r="35">
      <c r="A35" s="1" t="s">
        <v>25</v>
      </c>
      <c r="B35" s="2">
        <v>46174.0</v>
      </c>
      <c r="C35" s="1">
        <v>10.0</v>
      </c>
      <c r="D35" s="1">
        <v>12834.0</v>
      </c>
      <c r="E35" s="1">
        <v>1283.4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7</v>
      </c>
      <c r="E1" s="1" t="s">
        <v>9</v>
      </c>
      <c r="F1" s="1" t="s">
        <v>11</v>
      </c>
      <c r="G1" s="1" t="s">
        <v>12</v>
      </c>
    </row>
    <row r="2">
      <c r="A2" s="1" t="s">
        <v>10</v>
      </c>
      <c r="B2" s="3">
        <f>'Pivot Table 1'!B8</f>
        <v>497106</v>
      </c>
      <c r="C2" s="3">
        <f>Sheet1!B2</f>
        <v>180000</v>
      </c>
      <c r="D2" s="3">
        <f>C2-B2</f>
        <v>-317106</v>
      </c>
      <c r="E2" s="3">
        <f>((B2-C2)/C2*100)</f>
        <v>176.17</v>
      </c>
      <c r="F2" s="3" t="str">
        <f>IF(B2&gt;=C2, "ABOVE TARGET", IF((B2-C2/C2)*100&gt;=-15,"BELOW TARGET"))</f>
        <v>ABOVE TARGET</v>
      </c>
      <c r="G2" s="1" t="s">
        <v>21</v>
      </c>
    </row>
    <row r="3">
      <c r="A3" s="1" t="s">
        <v>13</v>
      </c>
    </row>
    <row r="4">
      <c r="A4" s="1" t="s">
        <v>14</v>
      </c>
    </row>
    <row r="5">
      <c r="A5" s="1" t="s">
        <v>15</v>
      </c>
    </row>
    <row r="6">
      <c r="A6" s="1" t="s">
        <v>16</v>
      </c>
    </row>
    <row r="7">
      <c r="A7" s="1" t="s">
        <v>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</v>
      </c>
    </row>
    <row r="2">
      <c r="A2" s="1" t="s">
        <v>10</v>
      </c>
      <c r="B2" s="1">
        <v>180000.0</v>
      </c>
    </row>
    <row r="3">
      <c r="A3" s="1" t="s">
        <v>13</v>
      </c>
      <c r="B3" s="1">
        <v>140000.0</v>
      </c>
    </row>
    <row r="4">
      <c r="A4" s="1" t="s">
        <v>14</v>
      </c>
      <c r="B4" s="1">
        <v>5000.0</v>
      </c>
    </row>
    <row r="5">
      <c r="A5" s="1" t="s">
        <v>15</v>
      </c>
      <c r="B5" s="1">
        <v>60000.0</v>
      </c>
    </row>
    <row r="6">
      <c r="A6" s="1" t="s">
        <v>16</v>
      </c>
      <c r="B6" s="1">
        <v>25000.0</v>
      </c>
    </row>
    <row r="7">
      <c r="A7" s="1" t="s">
        <v>17</v>
      </c>
      <c r="B7" s="1">
        <v>10000.0</v>
      </c>
    </row>
  </sheetData>
  <drawing r:id="rId1"/>
</worksheet>
</file>